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800" windowHeight="12015"/>
  </bookViews>
  <sheets>
    <sheet name="Sheet 1" sheetId="1" r:id="rId1"/>
  </sheets>
  <functionGroups/>
  <calcPr calcId="125725"/>
</workbook>
</file>

<file path=xl/calcChain.xml><?xml version="1.0" encoding="utf-8"?>
<calcChain xmlns="http://schemas.openxmlformats.org/spreadsheetml/2006/main">
  <c r="A17" i="1"/>
  <c r="A16"/>
  <c r="A15"/>
  <c r="A14"/>
  <c r="A13"/>
  <c r="A12"/>
  <c r="A11"/>
  <c r="A10"/>
  <c r="A9"/>
  <c r="A8"/>
  <c r="A7"/>
  <c r="AL17"/>
  <c r="AK17"/>
  <c r="T7"/>
  <c r="AI17"/>
  <c r="AH17"/>
  <c r="AE17"/>
  <c r="AD17"/>
  <c r="AC17"/>
  <c r="AB17"/>
  <c r="AA17"/>
  <c r="Z17"/>
  <c r="Y17"/>
  <c r="X17"/>
  <c r="W17"/>
  <c r="V17"/>
  <c r="U17"/>
  <c r="T17"/>
  <c r="P17"/>
  <c r="AL16"/>
  <c r="AK16"/>
  <c r="AI16"/>
  <c r="AH16"/>
  <c r="AE16"/>
  <c r="AD16"/>
  <c r="AC16"/>
  <c r="AB16"/>
  <c r="AA16"/>
  <c r="Z16"/>
  <c r="Y16"/>
  <c r="X16"/>
  <c r="W16"/>
  <c r="V16"/>
  <c r="U16"/>
  <c r="T16"/>
  <c r="P16"/>
  <c r="AL15"/>
  <c r="AK15"/>
  <c r="AI15"/>
  <c r="AH15"/>
  <c r="AE15"/>
  <c r="AD15"/>
  <c r="AC15"/>
  <c r="AB15"/>
  <c r="AA15"/>
  <c r="Z15"/>
  <c r="Y15"/>
  <c r="X15"/>
  <c r="W15"/>
  <c r="V15"/>
  <c r="U15"/>
  <c r="T15"/>
  <c r="P15"/>
  <c r="AL14"/>
  <c r="AK14"/>
  <c r="AI14"/>
  <c r="AH14"/>
  <c r="AE14"/>
  <c r="AD14"/>
  <c r="AC14"/>
  <c r="AB14"/>
  <c r="AA14"/>
  <c r="Z14"/>
  <c r="Y14"/>
  <c r="X14"/>
  <c r="W14"/>
  <c r="V14"/>
  <c r="U14"/>
  <c r="T14"/>
  <c r="P14"/>
  <c r="AL13"/>
  <c r="AK13"/>
  <c r="AI13"/>
  <c r="AH13"/>
  <c r="AE13"/>
  <c r="AD13"/>
  <c r="AC13"/>
  <c r="AB13"/>
  <c r="AA13"/>
  <c r="Z13"/>
  <c r="Y13"/>
  <c r="X13"/>
  <c r="W13"/>
  <c r="V13"/>
  <c r="U13"/>
  <c r="T13"/>
  <c r="P13"/>
  <c r="AL12"/>
  <c r="AK12"/>
  <c r="AI12"/>
  <c r="AH12"/>
  <c r="AE12"/>
  <c r="AD12"/>
  <c r="AC12"/>
  <c r="AB12"/>
  <c r="AA12"/>
  <c r="Z12"/>
  <c r="Y12"/>
  <c r="X12"/>
  <c r="W12"/>
  <c r="V12"/>
  <c r="U12"/>
  <c r="T12"/>
  <c r="P12"/>
  <c r="AL11"/>
  <c r="AK11"/>
  <c r="AI11"/>
  <c r="AH11"/>
  <c r="AE11"/>
  <c r="AD11"/>
  <c r="AC11"/>
  <c r="AB11"/>
  <c r="AA11"/>
  <c r="Z11"/>
  <c r="Y11"/>
  <c r="X11"/>
  <c r="W11"/>
  <c r="V11"/>
  <c r="U11"/>
  <c r="T11"/>
  <c r="P11"/>
  <c r="AL10"/>
  <c r="AK10"/>
  <c r="AI10"/>
  <c r="AH10"/>
  <c r="AE10"/>
  <c r="AD10"/>
  <c r="AC10"/>
  <c r="AB10"/>
  <c r="AA10"/>
  <c r="Z10"/>
  <c r="Y10"/>
  <c r="X10"/>
  <c r="W10"/>
  <c r="V10"/>
  <c r="U10"/>
  <c r="T10"/>
  <c r="P10"/>
  <c r="AL9"/>
  <c r="AK9"/>
  <c r="AI9"/>
  <c r="AH9"/>
  <c r="AE9"/>
  <c r="AD9"/>
  <c r="AC9"/>
  <c r="AB9"/>
  <c r="AA9"/>
  <c r="Z9"/>
  <c r="Y9"/>
  <c r="X9"/>
  <c r="W9"/>
  <c r="V9"/>
  <c r="U9"/>
  <c r="T9"/>
  <c r="P9"/>
  <c r="AL8"/>
  <c r="AK8"/>
  <c r="AI8"/>
  <c r="AH8"/>
  <c r="AE8"/>
  <c r="AD8"/>
  <c r="AC8"/>
  <c r="AB8"/>
  <c r="AA8"/>
  <c r="Z8"/>
  <c r="Y8"/>
  <c r="X8"/>
  <c r="W8"/>
  <c r="V8"/>
  <c r="U8"/>
  <c r="T8"/>
  <c r="P8"/>
  <c r="AL7"/>
  <c r="AK7"/>
  <c r="AE7"/>
  <c r="AD7"/>
  <c r="AC7"/>
  <c r="AB7"/>
  <c r="AA7"/>
  <c r="Z7"/>
  <c r="Y7"/>
  <c r="X7"/>
  <c r="W7"/>
  <c r="V7"/>
  <c r="U7"/>
  <c r="AI7"/>
  <c r="AH7"/>
  <c r="P7" l="1"/>
</calcChain>
</file>

<file path=xl/sharedStrings.xml><?xml version="1.0" encoding="utf-8"?>
<sst xmlns="http://schemas.openxmlformats.org/spreadsheetml/2006/main" count="218" uniqueCount="146">
  <si>
    <t>id</t>
  </si>
  <si>
    <t>name</t>
  </si>
  <si>
    <t>comment</t>
  </si>
  <si>
    <t>street</t>
  </si>
  <si>
    <t>street2</t>
  </si>
  <si>
    <t>zip</t>
  </si>
  <si>
    <t>city</t>
  </si>
  <si>
    <t>country_id/id</t>
  </si>
  <si>
    <t>phone</t>
  </si>
  <si>
    <t>mobile</t>
  </si>
  <si>
    <t>email</t>
  </si>
  <si>
    <t>website</t>
  </si>
  <si>
    <t>title/id</t>
  </si>
  <si>
    <t>Acme Inc</t>
  </si>
  <si>
    <t>Comment1</t>
  </si>
  <si>
    <t>Street 1</t>
  </si>
  <si>
    <t>Zip 1</t>
  </si>
  <si>
    <t>City 1</t>
  </si>
  <si>
    <t>base.se</t>
  </si>
  <si>
    <t>Phone1</t>
  </si>
  <si>
    <t>Mobile1</t>
  </si>
  <si>
    <t>email1</t>
  </si>
  <si>
    <t>http://w.1</t>
  </si>
  <si>
    <t>base.res_partner_title_mister</t>
  </si>
  <si>
    <t>Alexandra Dumas</t>
  </si>
  <si>
    <t>Comment2</t>
  </si>
  <si>
    <t>Street 2</t>
  </si>
  <si>
    <t>Zip 2</t>
  </si>
  <si>
    <t>City 2</t>
  </si>
  <si>
    <t>base.be</t>
  </si>
  <si>
    <t>Phone2</t>
  </si>
  <si>
    <t>Mobile2</t>
  </si>
  <si>
    <t>email2</t>
  </si>
  <si>
    <t>http://w.2</t>
  </si>
  <si>
    <t>base.res_partner_title_madam</t>
  </si>
  <si>
    <t>Arvid Nordkvist</t>
  </si>
  <si>
    <t>Bröderna Edstrand AB</t>
  </si>
  <si>
    <t>Comment3</t>
  </si>
  <si>
    <t>Street 3</t>
  </si>
  <si>
    <t>Zip 3</t>
  </si>
  <si>
    <t>City 3</t>
  </si>
  <si>
    <t>base.no</t>
  </si>
  <si>
    <t>Phone3</t>
  </si>
  <si>
    <t>Mobile3</t>
  </si>
  <si>
    <t>email3</t>
  </si>
  <si>
    <t>http://w.3</t>
  </si>
  <si>
    <t>base.res_partner_title_pvt_ltd</t>
  </si>
  <si>
    <t>Clas Ohlsson</t>
  </si>
  <si>
    <t>Comment4</t>
  </si>
  <si>
    <t>Street 4</t>
  </si>
  <si>
    <t>Zip 4</t>
  </si>
  <si>
    <t>City 4</t>
  </si>
  <si>
    <t>base.us</t>
  </si>
  <si>
    <t>Phone4</t>
  </si>
  <si>
    <t>Mobile4</t>
  </si>
  <si>
    <t>email4</t>
  </si>
  <si>
    <t>http://w.4</t>
  </si>
  <si>
    <t>Fredrik</t>
  </si>
  <si>
    <t>Comment5</t>
  </si>
  <si>
    <t>Street 5</t>
  </si>
  <si>
    <t>Zip 5</t>
  </si>
  <si>
    <t>City 5</t>
  </si>
  <si>
    <t>base.au</t>
  </si>
  <si>
    <t>Phone5</t>
  </si>
  <si>
    <t>Mobile5</t>
  </si>
  <si>
    <t>email5</t>
  </si>
  <si>
    <t>http://w.5</t>
  </si>
  <si>
    <t>Gustaf Eiffel</t>
  </si>
  <si>
    <t>Kalle Andersson</t>
  </si>
  <si>
    <t>Comment6</t>
  </si>
  <si>
    <t>Street 6</t>
  </si>
  <si>
    <t>Zip 6</t>
  </si>
  <si>
    <t>City 6</t>
  </si>
  <si>
    <t>base.es</t>
  </si>
  <si>
    <t>Phone6</t>
  </si>
  <si>
    <t>Mobile6</t>
  </si>
  <si>
    <t>email6</t>
  </si>
  <si>
    <t>http://w.6</t>
  </si>
  <si>
    <t>Maria Larsson</t>
  </si>
  <si>
    <t>Comment7</t>
  </si>
  <si>
    <t>Street 7</t>
  </si>
  <si>
    <t>Zip 7</t>
  </si>
  <si>
    <t>City 7</t>
  </si>
  <si>
    <t>base.ch</t>
  </si>
  <si>
    <t>Phone7</t>
  </si>
  <si>
    <t>Mobile7</t>
  </si>
  <si>
    <t>email7</t>
  </si>
  <si>
    <t>http://w.7</t>
  </si>
  <si>
    <t>Multi Agile Sarl</t>
  </si>
  <si>
    <t>Rue</t>
  </si>
  <si>
    <t>1234</t>
  </si>
  <si>
    <t>Ville</t>
  </si>
  <si>
    <t>base.fr</t>
  </si>
  <si>
    <t>Soros Inc</t>
  </si>
  <si>
    <t>Comment8</t>
  </si>
  <si>
    <t>Street 8</t>
  </si>
  <si>
    <t>Zip 8</t>
  </si>
  <si>
    <t>City 8</t>
  </si>
  <si>
    <t>base.gr</t>
  </si>
  <si>
    <t>Phone8</t>
  </si>
  <si>
    <t>Mobile8</t>
  </si>
  <si>
    <t>email8</t>
  </si>
  <si>
    <t>http://w.8</t>
  </si>
  <si>
    <t>http://w.10</t>
  </si>
  <si>
    <t>http://w.11</t>
  </si>
  <si>
    <t>http://w.12</t>
  </si>
  <si>
    <t>Comment10</t>
  </si>
  <si>
    <t>Comment11</t>
  </si>
  <si>
    <t>Comment12</t>
  </si>
  <si>
    <t>Street 10</t>
  </si>
  <si>
    <t>Zip 10</t>
  </si>
  <si>
    <t>City 10</t>
  </si>
  <si>
    <t>Street 11</t>
  </si>
  <si>
    <t>Zip 11</t>
  </si>
  <si>
    <t>City 11</t>
  </si>
  <si>
    <t>Phone10</t>
  </si>
  <si>
    <t>Mobile10</t>
  </si>
  <si>
    <t>Phone11</t>
  </si>
  <si>
    <t>Mobile11</t>
  </si>
  <si>
    <t>Phone12</t>
  </si>
  <si>
    <t>Mobile12</t>
  </si>
  <si>
    <t>Street 2.1</t>
  </si>
  <si>
    <t>Street 2.2</t>
  </si>
  <si>
    <t>Street 2.3</t>
  </si>
  <si>
    <t>Street 2.4</t>
  </si>
  <si>
    <t>Street 2.5</t>
  </si>
  <si>
    <t>Street 2.6</t>
  </si>
  <si>
    <t>Street 2.7</t>
  </si>
  <si>
    <t>Street 2.8</t>
  </si>
  <si>
    <t>Street 2.10</t>
  </si>
  <si>
    <t>Street 2.11</t>
  </si>
  <si>
    <t>Street 2.12</t>
  </si>
  <si>
    <t>&lt;!--                      Company                        --&gt;</t>
  </si>
  <si>
    <t>odoo_partners_import.xml</t>
  </si>
  <si>
    <t xml:space="preserve">&lt;?xml version="1.0" encoding="utf-8"?&gt;
</t>
  </si>
  <si>
    <t xml:space="preserve">&lt;openerp&gt;
</t>
  </si>
  <si>
    <t xml:space="preserve">    &lt;/data&gt;
</t>
  </si>
  <si>
    <t xml:space="preserve">&lt;/openerp&gt;
</t>
  </si>
  <si>
    <t xml:space="preserve">&lt;data noupdate="1"&gt;
</t>
  </si>
  <si>
    <t>&lt;!--          Partner            --&gt;</t>
  </si>
  <si>
    <t>&lt;/record&gt;</t>
  </si>
  <si>
    <t>&lt;field name="parent_id" ref="base.main_company"/&gt;</t>
  </si>
  <si>
    <t>currency</t>
  </si>
  <si>
    <t>EUR</t>
  </si>
  <si>
    <t>SEK</t>
  </si>
  <si>
    <t>USD</t>
  </si>
</sst>
</file>

<file path=xl/styles.xml><?xml version="1.0" encoding="utf-8"?>
<styleSheet xmlns="http://schemas.openxmlformats.org/spreadsheetml/2006/main">
  <fonts count="3">
    <font>
      <sz val="10"/>
      <name val="Arial"/>
      <charset val="1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Fill="1" applyBorder="1" applyAlignment="1" applyProtection="1"/>
    <xf numFmtId="0" fontId="0" fillId="0" borderId="0" xfId="0" applyAlignment="1"/>
    <xf numFmtId="0" fontId="2" fillId="0" borderId="0" xfId="0" applyFont="1" applyFill="1" applyBorder="1" applyAlignment="1" applyProtection="1"/>
    <xf numFmtId="0" fontId="0" fillId="0" borderId="0" xfId="0" applyFont="1" applyFill="1" applyBorder="1" applyAlignment="1" applyProtection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104775</xdr:rowOff>
    </xdr:from>
    <xdr:to>
      <xdr:col>10</xdr:col>
      <xdr:colOff>266700</xdr:colOff>
      <xdr:row>3</xdr:row>
      <xdr:rowOff>76200</xdr:rowOff>
    </xdr:to>
    <xdr:sp macro="[0]!PrintXMLFile" textlink="">
      <xdr:nvSpPr>
        <xdr:cNvPr id="2" name="Rektangel 1"/>
        <xdr:cNvSpPr/>
      </xdr:nvSpPr>
      <xdr:spPr>
        <a:xfrm>
          <a:off x="7562850" y="104775"/>
          <a:ext cx="2400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sv-SE" sz="1100"/>
            <a:t>Print XML-file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A3:AM39"/>
  <sheetViews>
    <sheetView tabSelected="1" workbookViewId="0">
      <selection activeCell="P3" sqref="P3"/>
    </sheetView>
  </sheetViews>
  <sheetFormatPr defaultRowHeight="12.75"/>
  <cols>
    <col min="1" max="1" width="29.28515625" style="2" bestFit="1" customWidth="1"/>
    <col min="2" max="2" width="26.5703125" style="2" bestFit="1" customWidth="1"/>
    <col min="3" max="3" width="19.85546875" style="2" bestFit="1" customWidth="1"/>
    <col min="4" max="4" width="7.5703125" style="2" bestFit="1" customWidth="1"/>
    <col min="5" max="5" width="10.140625" style="2" bestFit="1" customWidth="1"/>
    <col min="6" max="7" width="7" style="2" bestFit="1" customWidth="1"/>
    <col min="8" max="8" width="11.5703125" style="2" bestFit="1" customWidth="1"/>
    <col min="9" max="9" width="7.28515625" style="2" bestFit="1" customWidth="1"/>
    <col min="10" max="10" width="7.42578125" style="2" bestFit="1" customWidth="1"/>
    <col min="11" max="11" width="6.42578125" style="2" bestFit="1" customWidth="1"/>
    <col min="12" max="12" width="11.85546875" style="2" bestFit="1" customWidth="1"/>
    <col min="13" max="13" width="10" style="2" bestFit="1" customWidth="1"/>
    <col min="14" max="14" width="10" style="2" customWidth="1"/>
    <col min="15" max="15" width="9.140625" style="2"/>
    <col min="16" max="17" width="3" style="2" customWidth="1"/>
    <col min="18" max="18" width="14.7109375" style="2" customWidth="1"/>
    <col min="19" max="19" width="3.140625" style="2" customWidth="1"/>
    <col min="20" max="20" width="10.85546875" style="2" customWidth="1"/>
    <col min="21" max="33" width="3.28515625" style="2" customWidth="1"/>
    <col min="34" max="34" width="7.140625" style="2" customWidth="1"/>
    <col min="35" max="35" width="5.85546875" style="2" customWidth="1"/>
    <col min="36" max="36" width="3.28515625" style="2" customWidth="1"/>
    <col min="37" max="37" width="10.42578125" style="2" customWidth="1"/>
    <col min="38" max="40" width="3.28515625" style="2" customWidth="1"/>
    <col min="41" max="16384" width="9.140625" style="2"/>
  </cols>
  <sheetData>
    <row r="3" spans="1:39">
      <c r="P3" s="5" t="s">
        <v>133</v>
      </c>
      <c r="Q3" s="5"/>
      <c r="R3" s="5"/>
    </row>
    <row r="4" spans="1:39">
      <c r="P4" s="2" t="s">
        <v>134</v>
      </c>
      <c r="Q4"/>
      <c r="R4"/>
    </row>
    <row r="5" spans="1:39">
      <c r="P5" s="2" t="s">
        <v>135</v>
      </c>
      <c r="Q5"/>
      <c r="R5"/>
    </row>
    <row r="6" spans="1:39">
      <c r="A6" s="1" t="s">
        <v>0</v>
      </c>
      <c r="B6" s="1" t="s">
        <v>12</v>
      </c>
      <c r="C6" s="1" t="s">
        <v>1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1" t="s">
        <v>8</v>
      </c>
      <c r="J6" s="1" t="s">
        <v>9</v>
      </c>
      <c r="K6" s="1" t="s">
        <v>10</v>
      </c>
      <c r="L6" s="1" t="s">
        <v>11</v>
      </c>
      <c r="M6" s="1" t="s">
        <v>2</v>
      </c>
      <c r="N6" s="1" t="s">
        <v>142</v>
      </c>
      <c r="O6"/>
      <c r="P6" s="2" t="s">
        <v>138</v>
      </c>
      <c r="Q6"/>
      <c r="R6"/>
      <c r="T6"/>
      <c r="U6"/>
      <c r="V6"/>
      <c r="W6"/>
      <c r="X6"/>
      <c r="Y6"/>
      <c r="Z6"/>
      <c r="AA6"/>
      <c r="AB6"/>
      <c r="AC6"/>
      <c r="AJ6"/>
      <c r="AK6"/>
    </row>
    <row r="7" spans="1:39">
      <c r="A7" s="3" t="str">
        <f>"res_partner_"&amp;LOWER(SUBSTITUTE(removeSpecial(C7)," ",""))</f>
        <v>res_partner_alexandradumas</v>
      </c>
      <c r="B7" s="3" t="s">
        <v>34</v>
      </c>
      <c r="C7" s="3" t="s">
        <v>24</v>
      </c>
      <c r="D7" s="3" t="s">
        <v>26</v>
      </c>
      <c r="E7" s="4" t="s">
        <v>121</v>
      </c>
      <c r="F7" s="3" t="s">
        <v>27</v>
      </c>
      <c r="G7" s="3" t="s">
        <v>28</v>
      </c>
      <c r="H7" s="3" t="s">
        <v>29</v>
      </c>
      <c r="I7" s="3" t="s">
        <v>30</v>
      </c>
      <c r="J7" s="3" t="s">
        <v>31</v>
      </c>
      <c r="K7" s="3" t="s">
        <v>32</v>
      </c>
      <c r="L7" s="3" t="s">
        <v>33</v>
      </c>
      <c r="M7" s="3" t="s">
        <v>25</v>
      </c>
      <c r="N7" s="1" t="s">
        <v>143</v>
      </c>
      <c r="O7" s="3"/>
      <c r="P7" s="3" t="str">
        <f>S7&amp;"
"&amp;T7&amp;"
"&amp;U7&amp;"
"&amp;V7&amp;"
"&amp;W7&amp;"
"&amp;X7&amp;"
"&amp;Y7&amp;"
"&amp;Z7&amp;"
"&amp;AA7&amp;"
"&amp;AB7&amp;"
"&amp;AC7&amp;"
"&amp;AD7&amp;"
"&amp;AE7&amp;"
"&amp;AF7&amp;"
"&amp;AG7&amp;"
"&amp;AH7&amp;"
"&amp;AI7&amp;"
"&amp;AJ7&amp;"
"&amp;AK7&amp;"
"&amp;AL7&amp;"
"&amp;AM7&amp;"
"</f>
        <v xml:space="preserve">&lt;!--          Partner            --&gt;
&lt;record forcecreate="1" id="res_partner_alexandradumas" model="res.partner"&gt;
&lt;field name="name"&gt;Alexandra Dumas&lt;/field&gt;
&lt;field name="street"&gt;Street 2&lt;/field&gt;
&lt;field name="street2"&gt;Street 2.1&lt;/field&gt;
&lt;field name="zip"&gt;Zip 2&lt;/field&gt;
&lt;field name="city"&gt;City 2&lt;/field&gt;
&lt;field name="country_id/id"&gt;base.be&lt;/field&gt;
&lt;field name="phone"&gt;Phone2&lt;/field&gt;
&lt;field name="mobile"&gt;Mobile2&lt;/field&gt;
&lt;field name="email"&gt;email2&lt;/field&gt;
&lt;field name="website"&gt;http://w.2&lt;/field&gt;
&lt;field name="comment"&gt;Comment2&lt;/field&gt;
&lt;/record&gt;
&lt;!--                      Company                        --&gt;
&lt;record forcecreate="1" id="res_company_alexandradumas" model="res.company"&gt;
&lt;field name="partner_id" ref="res_partner_alexandradumas"/&gt;
&lt;field name="parent_id" ref="base.main_company"/&gt;
&lt;field name="currency_id" ref="base.EUR"/&gt;
&lt;field name="name"&gt;Alexandra Dumas&lt;/field&gt;
&lt;/record&gt;
</v>
      </c>
      <c r="Q7" s="3"/>
      <c r="R7" s="3"/>
      <c r="S7" t="s">
        <v>139</v>
      </c>
      <c r="T7" s="2" t="str">
        <f>"&lt;record forcecreate=""1"" id=""res_partner_"&amp;LOWER(SUBSTITUTE(removeSpecial(C7)," ",""))&amp;""" model=""res.partner""&gt;"</f>
        <v>&lt;record forcecreate="1" id="res_partner_alexandradumas" model="res.partner"&gt;</v>
      </c>
      <c r="U7" t="str">
        <f>"&lt;field name="""&amp;$C$6&amp;"""&gt;"&amp;C7&amp;"&lt;/field&gt;"</f>
        <v>&lt;field name="name"&gt;Alexandra Dumas&lt;/field&gt;</v>
      </c>
      <c r="V7" t="str">
        <f>"&lt;field name="""&amp;$D$6&amp;"""&gt;"&amp;D7&amp;"&lt;/field&gt;"</f>
        <v>&lt;field name="street"&gt;Street 2&lt;/field&gt;</v>
      </c>
      <c r="W7" t="str">
        <f>"&lt;field name="""&amp;$E$6&amp;"""&gt;"&amp;E7&amp;"&lt;/field&gt;"</f>
        <v>&lt;field name="street2"&gt;Street 2.1&lt;/field&gt;</v>
      </c>
      <c r="X7" t="str">
        <f>"&lt;field name="""&amp;$F$6&amp;"""&gt;"&amp;F7&amp;"&lt;/field&gt;"</f>
        <v>&lt;field name="zip"&gt;Zip 2&lt;/field&gt;</v>
      </c>
      <c r="Y7" t="str">
        <f>"&lt;field name="""&amp;$G$6&amp;"""&gt;"&amp;G7&amp;"&lt;/field&gt;"</f>
        <v>&lt;field name="city"&gt;City 2&lt;/field&gt;</v>
      </c>
      <c r="Z7" t="str">
        <f>"&lt;field name="""&amp;$H$6&amp;"""&gt;"&amp;H7&amp;"&lt;/field&gt;"</f>
        <v>&lt;field name="country_id/id"&gt;base.be&lt;/field&gt;</v>
      </c>
      <c r="AA7" t="str">
        <f>"&lt;field name="""&amp;$I$6&amp;"""&gt;"&amp;I7&amp;"&lt;/field&gt;"</f>
        <v>&lt;field name="phone"&gt;Phone2&lt;/field&gt;</v>
      </c>
      <c r="AB7" t="str">
        <f>"&lt;field name="""&amp;$J$6&amp;"""&gt;"&amp;J7&amp;"&lt;/field&gt;"</f>
        <v>&lt;field name="mobile"&gt;Mobile2&lt;/field&gt;</v>
      </c>
      <c r="AC7" t="str">
        <f>"&lt;field name="""&amp;$K$6&amp;"""&gt;"&amp;K7&amp;"&lt;/field&gt;"</f>
        <v>&lt;field name="email"&gt;email2&lt;/field&gt;</v>
      </c>
      <c r="AD7" t="str">
        <f>"&lt;field name="""&amp;$L$6&amp;"""&gt;"&amp;L7&amp;"&lt;/field&gt;"</f>
        <v>&lt;field name="website"&gt;http://w.2&lt;/field&gt;</v>
      </c>
      <c r="AE7" t="str">
        <f>"&lt;field name="""&amp;$M$6&amp;"""&gt;"&amp;M7&amp;"&lt;/field&gt;"</f>
        <v>&lt;field name="comment"&gt;Comment2&lt;/field&gt;</v>
      </c>
      <c r="AF7" t="s">
        <v>140</v>
      </c>
      <c r="AG7" s="2" t="s">
        <v>132</v>
      </c>
      <c r="AH7" s="2" t="str">
        <f>"&lt;record forcecreate=""1"" id=""res_company_"&amp;LOWER(SUBSTITUTE(removeSpecial(C7)," ",""))&amp;""" model=""res.company""&gt;"</f>
        <v>&lt;record forcecreate="1" id="res_company_alexandradumas" model="res.company"&gt;</v>
      </c>
      <c r="AI7" s="2" t="str">
        <f>"&lt;field name=""partner_id"" ref=""res_partner_"&amp;LOWER(SUBSTITUTE(removeSpecial(C7)," ",""))&amp;"""/&gt;"</f>
        <v>&lt;field name="partner_id" ref="res_partner_alexandradumas"/&gt;</v>
      </c>
      <c r="AJ7" s="2" t="s">
        <v>141</v>
      </c>
      <c r="AK7" s="2" t="str">
        <f>"&lt;field name=""currency_id"" ref=""base."&amp;N7&amp;"""/&gt;"</f>
        <v>&lt;field name="currency_id" ref="base.EUR"/&gt;</v>
      </c>
      <c r="AL7" t="str">
        <f>"&lt;field name="""&amp;$C$6&amp;"""&gt;"&amp;C7&amp;"&lt;/field&gt;"</f>
        <v>&lt;field name="name"&gt;Alexandra Dumas&lt;/field&gt;</v>
      </c>
      <c r="AM7" t="s">
        <v>140</v>
      </c>
    </row>
    <row r="8" spans="1:39">
      <c r="A8" s="3" t="str">
        <f t="shared" ref="A8:A17" si="0">"res_partner_"&amp;LOWER(SUBSTITUTE(removeSpecial(C8)," ",""))</f>
        <v>res_partner_marialarsson</v>
      </c>
      <c r="B8" s="3" t="s">
        <v>34</v>
      </c>
      <c r="C8" s="3" t="s">
        <v>78</v>
      </c>
      <c r="D8" s="3" t="s">
        <v>80</v>
      </c>
      <c r="E8" s="4" t="s">
        <v>122</v>
      </c>
      <c r="F8" s="3" t="s">
        <v>81</v>
      </c>
      <c r="G8" s="3" t="s">
        <v>82</v>
      </c>
      <c r="H8" s="3" t="s">
        <v>83</v>
      </c>
      <c r="I8" s="3" t="s">
        <v>84</v>
      </c>
      <c r="J8" s="3" t="s">
        <v>85</v>
      </c>
      <c r="K8" s="3" t="s">
        <v>86</v>
      </c>
      <c r="L8" s="3" t="s">
        <v>87</v>
      </c>
      <c r="M8" s="3" t="s">
        <v>79</v>
      </c>
      <c r="N8" s="1" t="s">
        <v>144</v>
      </c>
      <c r="O8" s="3"/>
      <c r="P8" s="3" t="str">
        <f t="shared" ref="P8:P17" si="1">S8&amp;"
"&amp;T8&amp;"
"&amp;U8&amp;"
"&amp;V8&amp;"
"&amp;W8&amp;"
"&amp;X8&amp;"
"&amp;Y8&amp;"
"&amp;Z8&amp;"
"&amp;AA8&amp;"
"&amp;AB8&amp;"
"&amp;AC8&amp;"
"&amp;AD8&amp;"
"&amp;AE8&amp;"
"&amp;AF8&amp;"
"&amp;AG8&amp;"
"&amp;AH8&amp;"
"&amp;AI8&amp;"
"&amp;AJ8&amp;"
"&amp;AK8&amp;"
"&amp;AL8&amp;"
"&amp;AM8&amp;"
"</f>
        <v xml:space="preserve">&lt;!--          Partner            --&gt;
&lt;record forcecreate="1" id="res_partner_marialarsson" model="res.partner"&gt;
&lt;field name="name"&gt;Maria Larsson&lt;/field&gt;
&lt;field name="street"&gt;Street 7&lt;/field&gt;
&lt;field name="street2"&gt;Street 2.2&lt;/field&gt;
&lt;field name="zip"&gt;Zip 7&lt;/field&gt;
&lt;field name="city"&gt;City 7&lt;/field&gt;
&lt;field name="country_id/id"&gt;base.ch&lt;/field&gt;
&lt;field name="phone"&gt;Phone7&lt;/field&gt;
&lt;field name="mobile"&gt;Mobile7&lt;/field&gt;
&lt;field name="email"&gt;email7&lt;/field&gt;
&lt;field name="website"&gt;http://w.7&lt;/field&gt;
&lt;field name="comment"&gt;Comment7&lt;/field&gt;
&lt;/record&gt;
&lt;!--                      Company                        --&gt;
&lt;record forcecreate="1" id="res_company_marialarsson" model="res.company"&gt;
&lt;field name="partner_id" ref="res_partner_marialarsson"/&gt;
&lt;field name="parent_id" ref="base.main_company"/&gt;
&lt;field name="currency_id" ref="base.SEK"/&gt;
&lt;field name="name"&gt;Maria Larsson&lt;/field&gt;
&lt;/record&gt;
</v>
      </c>
      <c r="Q8" s="3"/>
      <c r="R8" s="3"/>
      <c r="S8" t="s">
        <v>139</v>
      </c>
      <c r="T8" s="2" t="str">
        <f t="shared" ref="T8:T17" si="2">"&lt;record forcecreate=""1"" id=""res_partner_"&amp;LOWER(SUBSTITUTE(removeSpecial(C8)," ",""))&amp;""" model=""res.partner""&gt;"</f>
        <v>&lt;record forcecreate="1" id="res_partner_marialarsson" model="res.partner"&gt;</v>
      </c>
      <c r="U8" t="str">
        <f t="shared" ref="U8:U17" si="3">"&lt;field name="""&amp;$C$6&amp;"""&gt;"&amp;C8&amp;"&lt;/field&gt;"</f>
        <v>&lt;field name="name"&gt;Maria Larsson&lt;/field&gt;</v>
      </c>
      <c r="V8" t="str">
        <f t="shared" ref="V8:V17" si="4">"&lt;field name="""&amp;$D$6&amp;"""&gt;"&amp;D8&amp;"&lt;/field&gt;"</f>
        <v>&lt;field name="street"&gt;Street 7&lt;/field&gt;</v>
      </c>
      <c r="W8" t="str">
        <f t="shared" ref="W8:W17" si="5">"&lt;field name="""&amp;$E$6&amp;"""&gt;"&amp;E8&amp;"&lt;/field&gt;"</f>
        <v>&lt;field name="street2"&gt;Street 2.2&lt;/field&gt;</v>
      </c>
      <c r="X8" t="str">
        <f t="shared" ref="X8:X17" si="6">"&lt;field name="""&amp;$F$6&amp;"""&gt;"&amp;F8&amp;"&lt;/field&gt;"</f>
        <v>&lt;field name="zip"&gt;Zip 7&lt;/field&gt;</v>
      </c>
      <c r="Y8" t="str">
        <f t="shared" ref="Y8:Y17" si="7">"&lt;field name="""&amp;$G$6&amp;"""&gt;"&amp;G8&amp;"&lt;/field&gt;"</f>
        <v>&lt;field name="city"&gt;City 7&lt;/field&gt;</v>
      </c>
      <c r="Z8" t="str">
        <f t="shared" ref="Z8:Z17" si="8">"&lt;field name="""&amp;$H$6&amp;"""&gt;"&amp;H8&amp;"&lt;/field&gt;"</f>
        <v>&lt;field name="country_id/id"&gt;base.ch&lt;/field&gt;</v>
      </c>
      <c r="AA8" t="str">
        <f t="shared" ref="AA8:AA17" si="9">"&lt;field name="""&amp;$I$6&amp;"""&gt;"&amp;I8&amp;"&lt;/field&gt;"</f>
        <v>&lt;field name="phone"&gt;Phone7&lt;/field&gt;</v>
      </c>
      <c r="AB8" t="str">
        <f t="shared" ref="AB8:AB17" si="10">"&lt;field name="""&amp;$J$6&amp;"""&gt;"&amp;J8&amp;"&lt;/field&gt;"</f>
        <v>&lt;field name="mobile"&gt;Mobile7&lt;/field&gt;</v>
      </c>
      <c r="AC8" t="str">
        <f t="shared" ref="AC8:AC17" si="11">"&lt;field name="""&amp;$K$6&amp;"""&gt;"&amp;K8&amp;"&lt;/field&gt;"</f>
        <v>&lt;field name="email"&gt;email7&lt;/field&gt;</v>
      </c>
      <c r="AD8" t="str">
        <f t="shared" ref="AD8:AD17" si="12">"&lt;field name="""&amp;$L$6&amp;"""&gt;"&amp;L8&amp;"&lt;/field&gt;"</f>
        <v>&lt;field name="website"&gt;http://w.7&lt;/field&gt;</v>
      </c>
      <c r="AE8" t="str">
        <f t="shared" ref="AE8:AE17" si="13">"&lt;field name="""&amp;$M$6&amp;"""&gt;"&amp;M8&amp;"&lt;/field&gt;"</f>
        <v>&lt;field name="comment"&gt;Comment7&lt;/field&gt;</v>
      </c>
      <c r="AF8" t="s">
        <v>140</v>
      </c>
      <c r="AG8" s="2" t="s">
        <v>132</v>
      </c>
      <c r="AH8" s="2" t="str">
        <f t="shared" ref="AH8:AH17" si="14">"&lt;record forcecreate=""1"" id=""res_company_"&amp;LOWER(SUBSTITUTE(removeSpecial(C8)," ",""))&amp;""" model=""res.company""&gt;"</f>
        <v>&lt;record forcecreate="1" id="res_company_marialarsson" model="res.company"&gt;</v>
      </c>
      <c r="AI8" s="2" t="str">
        <f t="shared" ref="AI8:AI17" si="15">"&lt;field name=""partner_id"" ref=""res_partner_"&amp;LOWER(SUBSTITUTE(removeSpecial(C8)," ",""))&amp;"""/&gt;"</f>
        <v>&lt;field name="partner_id" ref="res_partner_marialarsson"/&gt;</v>
      </c>
      <c r="AJ8" s="2" t="s">
        <v>141</v>
      </c>
      <c r="AK8" s="2" t="str">
        <f t="shared" ref="AK8:AK17" si="16">"&lt;field name=""currency_id"" ref=""base."&amp;N8&amp;"""/&gt;"</f>
        <v>&lt;field name="currency_id" ref="base.SEK"/&gt;</v>
      </c>
      <c r="AL8" t="str">
        <f t="shared" ref="AL8:AL17" si="17">"&lt;field name="""&amp;$C$6&amp;"""&gt;"&amp;C8&amp;"&lt;/field&gt;"</f>
        <v>&lt;field name="name"&gt;Maria Larsson&lt;/field&gt;</v>
      </c>
      <c r="AM8" t="s">
        <v>140</v>
      </c>
    </row>
    <row r="9" spans="1:39">
      <c r="A9" s="3" t="str">
        <f t="shared" si="0"/>
        <v>res_partner_acmeinc</v>
      </c>
      <c r="B9" s="3" t="s">
        <v>23</v>
      </c>
      <c r="C9" s="3" t="s">
        <v>13</v>
      </c>
      <c r="D9" s="3" t="s">
        <v>15</v>
      </c>
      <c r="E9" s="4" t="s">
        <v>123</v>
      </c>
      <c r="F9" s="3" t="s">
        <v>16</v>
      </c>
      <c r="G9" s="3" t="s">
        <v>17</v>
      </c>
      <c r="H9" s="3" t="s">
        <v>18</v>
      </c>
      <c r="I9" s="3" t="s">
        <v>19</v>
      </c>
      <c r="J9" s="3" t="s">
        <v>20</v>
      </c>
      <c r="K9" s="3" t="s">
        <v>21</v>
      </c>
      <c r="L9" s="3" t="s">
        <v>22</v>
      </c>
      <c r="M9" s="3" t="s">
        <v>14</v>
      </c>
      <c r="N9" s="1" t="s">
        <v>145</v>
      </c>
      <c r="O9" s="3"/>
      <c r="P9" s="3" t="str">
        <f t="shared" si="1"/>
        <v xml:space="preserve">&lt;!--          Partner            --&gt;
&lt;record forcecreate="1" id="res_partner_acmeinc" model="res.partner"&gt;
&lt;field name="name"&gt;Acme Inc&lt;/field&gt;
&lt;field name="street"&gt;Street 1&lt;/field&gt;
&lt;field name="street2"&gt;Street 2.3&lt;/field&gt;
&lt;field name="zip"&gt;Zip 1&lt;/field&gt;
&lt;field name="city"&gt;City 1&lt;/field&gt;
&lt;field name="country_id/id"&gt;base.se&lt;/field&gt;
&lt;field name="phone"&gt;Phone1&lt;/field&gt;
&lt;field name="mobile"&gt;Mobile1&lt;/field&gt;
&lt;field name="email"&gt;email1&lt;/field&gt;
&lt;field name="website"&gt;http://w.1&lt;/field&gt;
&lt;field name="comment"&gt;Comment1&lt;/field&gt;
&lt;/record&gt;
&lt;!--                      Company                        --&gt;
&lt;record forcecreate="1" id="res_company_acmeinc" model="res.company"&gt;
&lt;field name="partner_id" ref="res_partner_acmeinc"/&gt;
&lt;field name="parent_id" ref="base.main_company"/&gt;
&lt;field name="currency_id" ref="base.USD"/&gt;
&lt;field name="name"&gt;Acme Inc&lt;/field&gt;
&lt;/record&gt;
</v>
      </c>
      <c r="Q9" s="3"/>
      <c r="R9" s="3"/>
      <c r="S9" t="s">
        <v>139</v>
      </c>
      <c r="T9" s="2" t="str">
        <f t="shared" si="2"/>
        <v>&lt;record forcecreate="1" id="res_partner_acmeinc" model="res.partner"&gt;</v>
      </c>
      <c r="U9" t="str">
        <f t="shared" si="3"/>
        <v>&lt;field name="name"&gt;Acme Inc&lt;/field&gt;</v>
      </c>
      <c r="V9" t="str">
        <f t="shared" si="4"/>
        <v>&lt;field name="street"&gt;Street 1&lt;/field&gt;</v>
      </c>
      <c r="W9" t="str">
        <f t="shared" si="5"/>
        <v>&lt;field name="street2"&gt;Street 2.3&lt;/field&gt;</v>
      </c>
      <c r="X9" t="str">
        <f t="shared" si="6"/>
        <v>&lt;field name="zip"&gt;Zip 1&lt;/field&gt;</v>
      </c>
      <c r="Y9" t="str">
        <f t="shared" si="7"/>
        <v>&lt;field name="city"&gt;City 1&lt;/field&gt;</v>
      </c>
      <c r="Z9" t="str">
        <f t="shared" si="8"/>
        <v>&lt;field name="country_id/id"&gt;base.se&lt;/field&gt;</v>
      </c>
      <c r="AA9" t="str">
        <f t="shared" si="9"/>
        <v>&lt;field name="phone"&gt;Phone1&lt;/field&gt;</v>
      </c>
      <c r="AB9" t="str">
        <f t="shared" si="10"/>
        <v>&lt;field name="mobile"&gt;Mobile1&lt;/field&gt;</v>
      </c>
      <c r="AC9" t="str">
        <f t="shared" si="11"/>
        <v>&lt;field name="email"&gt;email1&lt;/field&gt;</v>
      </c>
      <c r="AD9" t="str">
        <f t="shared" si="12"/>
        <v>&lt;field name="website"&gt;http://w.1&lt;/field&gt;</v>
      </c>
      <c r="AE9" t="str">
        <f t="shared" si="13"/>
        <v>&lt;field name="comment"&gt;Comment1&lt;/field&gt;</v>
      </c>
      <c r="AF9" t="s">
        <v>140</v>
      </c>
      <c r="AG9" s="2" t="s">
        <v>132</v>
      </c>
      <c r="AH9" s="2" t="str">
        <f t="shared" si="14"/>
        <v>&lt;record forcecreate="1" id="res_company_acmeinc" model="res.company"&gt;</v>
      </c>
      <c r="AI9" s="2" t="str">
        <f t="shared" si="15"/>
        <v>&lt;field name="partner_id" ref="res_partner_acmeinc"/&gt;</v>
      </c>
      <c r="AJ9" s="2" t="s">
        <v>141</v>
      </c>
      <c r="AK9" s="2" t="str">
        <f t="shared" si="16"/>
        <v>&lt;field name="currency_id" ref="base.USD"/&gt;</v>
      </c>
      <c r="AL9" t="str">
        <f t="shared" si="17"/>
        <v>&lt;field name="name"&gt;Acme Inc&lt;/field&gt;</v>
      </c>
      <c r="AM9" t="s">
        <v>140</v>
      </c>
    </row>
    <row r="10" spans="1:39">
      <c r="A10" s="3" t="str">
        <f t="shared" si="0"/>
        <v>res_partner_fredrik</v>
      </c>
      <c r="B10" s="3" t="s">
        <v>23</v>
      </c>
      <c r="C10" s="3" t="s">
        <v>57</v>
      </c>
      <c r="D10" s="3" t="s">
        <v>59</v>
      </c>
      <c r="E10" s="4" t="s">
        <v>124</v>
      </c>
      <c r="F10" s="3" t="s">
        <v>60</v>
      </c>
      <c r="G10" s="3" t="s">
        <v>61</v>
      </c>
      <c r="H10" s="3" t="s">
        <v>62</v>
      </c>
      <c r="I10" s="3" t="s">
        <v>63</v>
      </c>
      <c r="J10" s="3" t="s">
        <v>64</v>
      </c>
      <c r="K10" s="3" t="s">
        <v>65</v>
      </c>
      <c r="L10" s="3" t="s">
        <v>66</v>
      </c>
      <c r="M10" s="3" t="s">
        <v>58</v>
      </c>
      <c r="N10" s="1" t="s">
        <v>143</v>
      </c>
      <c r="O10" s="3"/>
      <c r="P10" s="3" t="str">
        <f t="shared" si="1"/>
        <v xml:space="preserve">&lt;!--          Partner            --&gt;
&lt;record forcecreate="1" id="res_partner_fredrik" model="res.partner"&gt;
&lt;field name="name"&gt;Fredrik&lt;/field&gt;
&lt;field name="street"&gt;Street 5&lt;/field&gt;
&lt;field name="street2"&gt;Street 2.4&lt;/field&gt;
&lt;field name="zip"&gt;Zip 5&lt;/field&gt;
&lt;field name="city"&gt;City 5&lt;/field&gt;
&lt;field name="country_id/id"&gt;base.au&lt;/field&gt;
&lt;field name="phone"&gt;Phone5&lt;/field&gt;
&lt;field name="mobile"&gt;Mobile5&lt;/field&gt;
&lt;field name="email"&gt;email5&lt;/field&gt;
&lt;field name="website"&gt;http://w.5&lt;/field&gt;
&lt;field name="comment"&gt;Comment5&lt;/field&gt;
&lt;/record&gt;
&lt;!--                      Company                        --&gt;
&lt;record forcecreate="1" id="res_company_fredrik" model="res.company"&gt;
&lt;field name="partner_id" ref="res_partner_fredrik"/&gt;
&lt;field name="parent_id" ref="base.main_company"/&gt;
&lt;field name="currency_id" ref="base.EUR"/&gt;
&lt;field name="name"&gt;Fredrik&lt;/field&gt;
&lt;/record&gt;
</v>
      </c>
      <c r="Q10" s="3"/>
      <c r="R10" s="3"/>
      <c r="S10" t="s">
        <v>139</v>
      </c>
      <c r="T10" s="2" t="str">
        <f t="shared" si="2"/>
        <v>&lt;record forcecreate="1" id="res_partner_fredrik" model="res.partner"&gt;</v>
      </c>
      <c r="U10" t="str">
        <f t="shared" si="3"/>
        <v>&lt;field name="name"&gt;Fredrik&lt;/field&gt;</v>
      </c>
      <c r="V10" t="str">
        <f t="shared" si="4"/>
        <v>&lt;field name="street"&gt;Street 5&lt;/field&gt;</v>
      </c>
      <c r="W10" t="str">
        <f t="shared" si="5"/>
        <v>&lt;field name="street2"&gt;Street 2.4&lt;/field&gt;</v>
      </c>
      <c r="X10" t="str">
        <f t="shared" si="6"/>
        <v>&lt;field name="zip"&gt;Zip 5&lt;/field&gt;</v>
      </c>
      <c r="Y10" t="str">
        <f t="shared" si="7"/>
        <v>&lt;field name="city"&gt;City 5&lt;/field&gt;</v>
      </c>
      <c r="Z10" t="str">
        <f t="shared" si="8"/>
        <v>&lt;field name="country_id/id"&gt;base.au&lt;/field&gt;</v>
      </c>
      <c r="AA10" t="str">
        <f t="shared" si="9"/>
        <v>&lt;field name="phone"&gt;Phone5&lt;/field&gt;</v>
      </c>
      <c r="AB10" t="str">
        <f t="shared" si="10"/>
        <v>&lt;field name="mobile"&gt;Mobile5&lt;/field&gt;</v>
      </c>
      <c r="AC10" t="str">
        <f t="shared" si="11"/>
        <v>&lt;field name="email"&gt;email5&lt;/field&gt;</v>
      </c>
      <c r="AD10" t="str">
        <f t="shared" si="12"/>
        <v>&lt;field name="website"&gt;http://w.5&lt;/field&gt;</v>
      </c>
      <c r="AE10" t="str">
        <f t="shared" si="13"/>
        <v>&lt;field name="comment"&gt;Comment5&lt;/field&gt;</v>
      </c>
      <c r="AF10" t="s">
        <v>140</v>
      </c>
      <c r="AG10" s="2" t="s">
        <v>132</v>
      </c>
      <c r="AH10" s="2" t="str">
        <f t="shared" si="14"/>
        <v>&lt;record forcecreate="1" id="res_company_fredrik" model="res.company"&gt;</v>
      </c>
      <c r="AI10" s="2" t="str">
        <f t="shared" si="15"/>
        <v>&lt;field name="partner_id" ref="res_partner_fredrik"/&gt;</v>
      </c>
      <c r="AJ10" s="2" t="s">
        <v>141</v>
      </c>
      <c r="AK10" s="2" t="str">
        <f t="shared" si="16"/>
        <v>&lt;field name="currency_id" ref="base.EUR"/&gt;</v>
      </c>
      <c r="AL10" t="str">
        <f t="shared" si="17"/>
        <v>&lt;field name="name"&gt;Fredrik&lt;/field&gt;</v>
      </c>
      <c r="AM10" t="s">
        <v>140</v>
      </c>
    </row>
    <row r="11" spans="1:39">
      <c r="A11" s="3" t="str">
        <f t="shared" si="0"/>
        <v>res_partner_kalleandersson</v>
      </c>
      <c r="B11" s="3" t="s">
        <v>23</v>
      </c>
      <c r="C11" s="3" t="s">
        <v>68</v>
      </c>
      <c r="D11" s="3" t="s">
        <v>70</v>
      </c>
      <c r="E11" s="4" t="s">
        <v>125</v>
      </c>
      <c r="F11" s="3" t="s">
        <v>71</v>
      </c>
      <c r="G11" s="3" t="s">
        <v>72</v>
      </c>
      <c r="H11" s="3" t="s">
        <v>73</v>
      </c>
      <c r="I11" s="3" t="s">
        <v>74</v>
      </c>
      <c r="J11" s="3" t="s">
        <v>75</v>
      </c>
      <c r="K11" s="3" t="s">
        <v>76</v>
      </c>
      <c r="L11" s="3" t="s">
        <v>77</v>
      </c>
      <c r="M11" s="3" t="s">
        <v>69</v>
      </c>
      <c r="N11" s="1" t="s">
        <v>144</v>
      </c>
      <c r="O11" s="3"/>
      <c r="P11" s="3" t="str">
        <f t="shared" si="1"/>
        <v xml:space="preserve">&lt;!--          Partner            --&gt;
&lt;record forcecreate="1" id="res_partner_kalleandersson" model="res.partner"&gt;
&lt;field name="name"&gt;Kalle Andersson&lt;/field&gt;
&lt;field name="street"&gt;Street 6&lt;/field&gt;
&lt;field name="street2"&gt;Street 2.5&lt;/field&gt;
&lt;field name="zip"&gt;Zip 6&lt;/field&gt;
&lt;field name="city"&gt;City 6&lt;/field&gt;
&lt;field name="country_id/id"&gt;base.es&lt;/field&gt;
&lt;field name="phone"&gt;Phone6&lt;/field&gt;
&lt;field name="mobile"&gt;Mobile6&lt;/field&gt;
&lt;field name="email"&gt;email6&lt;/field&gt;
&lt;field name="website"&gt;http://w.6&lt;/field&gt;
&lt;field name="comment"&gt;Comment6&lt;/field&gt;
&lt;/record&gt;
&lt;!--                      Company                        --&gt;
&lt;record forcecreate="1" id="res_company_kalleandersson" model="res.company"&gt;
&lt;field name="partner_id" ref="res_partner_kalleandersson"/&gt;
&lt;field name="parent_id" ref="base.main_company"/&gt;
&lt;field name="currency_id" ref="base.SEK"/&gt;
&lt;field name="name"&gt;Kalle Andersson&lt;/field&gt;
&lt;/record&gt;
</v>
      </c>
      <c r="Q11" s="3"/>
      <c r="R11" s="3"/>
      <c r="S11" t="s">
        <v>139</v>
      </c>
      <c r="T11" s="2" t="str">
        <f t="shared" si="2"/>
        <v>&lt;record forcecreate="1" id="res_partner_kalleandersson" model="res.partner"&gt;</v>
      </c>
      <c r="U11" t="str">
        <f t="shared" si="3"/>
        <v>&lt;field name="name"&gt;Kalle Andersson&lt;/field&gt;</v>
      </c>
      <c r="V11" t="str">
        <f t="shared" si="4"/>
        <v>&lt;field name="street"&gt;Street 6&lt;/field&gt;</v>
      </c>
      <c r="W11" t="str">
        <f t="shared" si="5"/>
        <v>&lt;field name="street2"&gt;Street 2.5&lt;/field&gt;</v>
      </c>
      <c r="X11" t="str">
        <f t="shared" si="6"/>
        <v>&lt;field name="zip"&gt;Zip 6&lt;/field&gt;</v>
      </c>
      <c r="Y11" t="str">
        <f t="shared" si="7"/>
        <v>&lt;field name="city"&gt;City 6&lt;/field&gt;</v>
      </c>
      <c r="Z11" t="str">
        <f t="shared" si="8"/>
        <v>&lt;field name="country_id/id"&gt;base.es&lt;/field&gt;</v>
      </c>
      <c r="AA11" t="str">
        <f t="shared" si="9"/>
        <v>&lt;field name="phone"&gt;Phone6&lt;/field&gt;</v>
      </c>
      <c r="AB11" t="str">
        <f t="shared" si="10"/>
        <v>&lt;field name="mobile"&gt;Mobile6&lt;/field&gt;</v>
      </c>
      <c r="AC11" t="str">
        <f t="shared" si="11"/>
        <v>&lt;field name="email"&gt;email6&lt;/field&gt;</v>
      </c>
      <c r="AD11" t="str">
        <f t="shared" si="12"/>
        <v>&lt;field name="website"&gt;http://w.6&lt;/field&gt;</v>
      </c>
      <c r="AE11" t="str">
        <f t="shared" si="13"/>
        <v>&lt;field name="comment"&gt;Comment6&lt;/field&gt;</v>
      </c>
      <c r="AF11" t="s">
        <v>140</v>
      </c>
      <c r="AG11" s="2" t="s">
        <v>132</v>
      </c>
      <c r="AH11" s="2" t="str">
        <f t="shared" si="14"/>
        <v>&lt;record forcecreate="1" id="res_company_kalleandersson" model="res.company"&gt;</v>
      </c>
      <c r="AI11" s="2" t="str">
        <f t="shared" si="15"/>
        <v>&lt;field name="partner_id" ref="res_partner_kalleandersson"/&gt;</v>
      </c>
      <c r="AJ11" s="2" t="s">
        <v>141</v>
      </c>
      <c r="AK11" s="2" t="str">
        <f t="shared" si="16"/>
        <v>&lt;field name="currency_id" ref="base.SEK"/&gt;</v>
      </c>
      <c r="AL11" t="str">
        <f t="shared" si="17"/>
        <v>&lt;field name="name"&gt;Kalle Andersson&lt;/field&gt;</v>
      </c>
      <c r="AM11" t="s">
        <v>140</v>
      </c>
    </row>
    <row r="12" spans="1:39">
      <c r="A12" s="3" t="str">
        <f t="shared" si="0"/>
        <v>res_partner_brdernaedstrandab</v>
      </c>
      <c r="B12" s="3" t="s">
        <v>46</v>
      </c>
      <c r="C12" s="3" t="s">
        <v>36</v>
      </c>
      <c r="D12" s="3" t="s">
        <v>38</v>
      </c>
      <c r="E12" s="4" t="s">
        <v>126</v>
      </c>
      <c r="F12" s="3" t="s">
        <v>39</v>
      </c>
      <c r="G12" s="3" t="s">
        <v>40</v>
      </c>
      <c r="H12" s="3" t="s">
        <v>41</v>
      </c>
      <c r="I12" s="3" t="s">
        <v>42</v>
      </c>
      <c r="J12" s="3" t="s">
        <v>43</v>
      </c>
      <c r="K12" s="3" t="s">
        <v>44</v>
      </c>
      <c r="L12" s="3" t="s">
        <v>45</v>
      </c>
      <c r="M12" s="3" t="s">
        <v>37</v>
      </c>
      <c r="N12" s="1" t="s">
        <v>143</v>
      </c>
      <c r="O12" s="3"/>
      <c r="P12" s="3" t="str">
        <f t="shared" si="1"/>
        <v xml:space="preserve">&lt;!--          Partner            --&gt;
&lt;record forcecreate="1" id="res_partner_brdernaedstrandab" model="res.partner"&gt;
&lt;field name="name"&gt;Bröderna Edstrand AB&lt;/field&gt;
&lt;field name="street"&gt;Street 3&lt;/field&gt;
&lt;field name="street2"&gt;Street 2.6&lt;/field&gt;
&lt;field name="zip"&gt;Zip 3&lt;/field&gt;
&lt;field name="city"&gt;City 3&lt;/field&gt;
&lt;field name="country_id/id"&gt;base.no&lt;/field&gt;
&lt;field name="phone"&gt;Phone3&lt;/field&gt;
&lt;field name="mobile"&gt;Mobile3&lt;/field&gt;
&lt;field name="email"&gt;email3&lt;/field&gt;
&lt;field name="website"&gt;http://w.3&lt;/field&gt;
&lt;field name="comment"&gt;Comment3&lt;/field&gt;
&lt;/record&gt;
&lt;!--                      Company                        --&gt;
&lt;record forcecreate="1" id="res_company_brdernaedstrandab" model="res.company"&gt;
&lt;field name="partner_id" ref="res_partner_brdernaedstrandab"/&gt;
&lt;field name="parent_id" ref="base.main_company"/&gt;
&lt;field name="currency_id" ref="base.EUR"/&gt;
&lt;field name="name"&gt;Bröderna Edstrand AB&lt;/field&gt;
&lt;/record&gt;
</v>
      </c>
      <c r="Q12" s="3"/>
      <c r="R12" s="3"/>
      <c r="S12" t="s">
        <v>139</v>
      </c>
      <c r="T12" s="2" t="str">
        <f t="shared" si="2"/>
        <v>&lt;record forcecreate="1" id="res_partner_brdernaedstrandab" model="res.partner"&gt;</v>
      </c>
      <c r="U12" t="str">
        <f t="shared" si="3"/>
        <v>&lt;field name="name"&gt;Bröderna Edstrand AB&lt;/field&gt;</v>
      </c>
      <c r="V12" t="str">
        <f t="shared" si="4"/>
        <v>&lt;field name="street"&gt;Street 3&lt;/field&gt;</v>
      </c>
      <c r="W12" t="str">
        <f t="shared" si="5"/>
        <v>&lt;field name="street2"&gt;Street 2.6&lt;/field&gt;</v>
      </c>
      <c r="X12" t="str">
        <f t="shared" si="6"/>
        <v>&lt;field name="zip"&gt;Zip 3&lt;/field&gt;</v>
      </c>
      <c r="Y12" t="str">
        <f t="shared" si="7"/>
        <v>&lt;field name="city"&gt;City 3&lt;/field&gt;</v>
      </c>
      <c r="Z12" t="str">
        <f t="shared" si="8"/>
        <v>&lt;field name="country_id/id"&gt;base.no&lt;/field&gt;</v>
      </c>
      <c r="AA12" t="str">
        <f t="shared" si="9"/>
        <v>&lt;field name="phone"&gt;Phone3&lt;/field&gt;</v>
      </c>
      <c r="AB12" t="str">
        <f t="shared" si="10"/>
        <v>&lt;field name="mobile"&gt;Mobile3&lt;/field&gt;</v>
      </c>
      <c r="AC12" t="str">
        <f t="shared" si="11"/>
        <v>&lt;field name="email"&gt;email3&lt;/field&gt;</v>
      </c>
      <c r="AD12" t="str">
        <f t="shared" si="12"/>
        <v>&lt;field name="website"&gt;http://w.3&lt;/field&gt;</v>
      </c>
      <c r="AE12" t="str">
        <f t="shared" si="13"/>
        <v>&lt;field name="comment"&gt;Comment3&lt;/field&gt;</v>
      </c>
      <c r="AF12" t="s">
        <v>140</v>
      </c>
      <c r="AG12" s="2" t="s">
        <v>132</v>
      </c>
      <c r="AH12" s="2" t="str">
        <f t="shared" si="14"/>
        <v>&lt;record forcecreate="1" id="res_company_brdernaedstrandab" model="res.company"&gt;</v>
      </c>
      <c r="AI12" s="2" t="str">
        <f t="shared" si="15"/>
        <v>&lt;field name="partner_id" ref="res_partner_brdernaedstrandab"/&gt;</v>
      </c>
      <c r="AJ12" s="2" t="s">
        <v>141</v>
      </c>
      <c r="AK12" s="2" t="str">
        <f t="shared" si="16"/>
        <v>&lt;field name="currency_id" ref="base.EUR"/&gt;</v>
      </c>
      <c r="AL12" t="str">
        <f t="shared" si="17"/>
        <v>&lt;field name="name"&gt;Bröderna Edstrand AB&lt;/field&gt;</v>
      </c>
      <c r="AM12" t="s">
        <v>140</v>
      </c>
    </row>
    <row r="13" spans="1:39">
      <c r="A13" s="3" t="str">
        <f t="shared" si="0"/>
        <v>res_partner_clasohlsson</v>
      </c>
      <c r="B13" s="3" t="s">
        <v>46</v>
      </c>
      <c r="C13" s="3" t="s">
        <v>47</v>
      </c>
      <c r="D13" s="3" t="s">
        <v>49</v>
      </c>
      <c r="E13" s="4" t="s">
        <v>127</v>
      </c>
      <c r="F13" s="3" t="s">
        <v>50</v>
      </c>
      <c r="G13" s="3" t="s">
        <v>51</v>
      </c>
      <c r="H13" s="3" t="s">
        <v>52</v>
      </c>
      <c r="I13" s="3" t="s">
        <v>53</v>
      </c>
      <c r="J13" s="3" t="s">
        <v>54</v>
      </c>
      <c r="K13" s="3" t="s">
        <v>55</v>
      </c>
      <c r="L13" s="3" t="s">
        <v>56</v>
      </c>
      <c r="M13" s="3" t="s">
        <v>48</v>
      </c>
      <c r="N13" s="1" t="s">
        <v>144</v>
      </c>
      <c r="O13" s="3"/>
      <c r="P13" s="3" t="str">
        <f t="shared" si="1"/>
        <v xml:space="preserve">&lt;!--          Partner            --&gt;
&lt;record forcecreate="1" id="res_partner_clasohlsson" model="res.partner"&gt;
&lt;field name="name"&gt;Clas Ohlsson&lt;/field&gt;
&lt;field name="street"&gt;Street 4&lt;/field&gt;
&lt;field name="street2"&gt;Street 2.7&lt;/field&gt;
&lt;field name="zip"&gt;Zip 4&lt;/field&gt;
&lt;field name="city"&gt;City 4&lt;/field&gt;
&lt;field name="country_id/id"&gt;base.us&lt;/field&gt;
&lt;field name="phone"&gt;Phone4&lt;/field&gt;
&lt;field name="mobile"&gt;Mobile4&lt;/field&gt;
&lt;field name="email"&gt;email4&lt;/field&gt;
&lt;field name="website"&gt;http://w.4&lt;/field&gt;
&lt;field name="comment"&gt;Comment4&lt;/field&gt;
&lt;/record&gt;
&lt;!--                      Company                        --&gt;
&lt;record forcecreate="1" id="res_company_clasohlsson" model="res.company"&gt;
&lt;field name="partner_id" ref="res_partner_clasohlsson"/&gt;
&lt;field name="parent_id" ref="base.main_company"/&gt;
&lt;field name="currency_id" ref="base.SEK"/&gt;
&lt;field name="name"&gt;Clas Ohlsson&lt;/field&gt;
&lt;/record&gt;
</v>
      </c>
      <c r="Q13" s="3"/>
      <c r="R13" s="3"/>
      <c r="S13" t="s">
        <v>139</v>
      </c>
      <c r="T13" s="2" t="str">
        <f t="shared" si="2"/>
        <v>&lt;record forcecreate="1" id="res_partner_clasohlsson" model="res.partner"&gt;</v>
      </c>
      <c r="U13" t="str">
        <f t="shared" si="3"/>
        <v>&lt;field name="name"&gt;Clas Ohlsson&lt;/field&gt;</v>
      </c>
      <c r="V13" t="str">
        <f t="shared" si="4"/>
        <v>&lt;field name="street"&gt;Street 4&lt;/field&gt;</v>
      </c>
      <c r="W13" t="str">
        <f t="shared" si="5"/>
        <v>&lt;field name="street2"&gt;Street 2.7&lt;/field&gt;</v>
      </c>
      <c r="X13" t="str">
        <f t="shared" si="6"/>
        <v>&lt;field name="zip"&gt;Zip 4&lt;/field&gt;</v>
      </c>
      <c r="Y13" t="str">
        <f t="shared" si="7"/>
        <v>&lt;field name="city"&gt;City 4&lt;/field&gt;</v>
      </c>
      <c r="Z13" t="str">
        <f t="shared" si="8"/>
        <v>&lt;field name="country_id/id"&gt;base.us&lt;/field&gt;</v>
      </c>
      <c r="AA13" t="str">
        <f t="shared" si="9"/>
        <v>&lt;field name="phone"&gt;Phone4&lt;/field&gt;</v>
      </c>
      <c r="AB13" t="str">
        <f t="shared" si="10"/>
        <v>&lt;field name="mobile"&gt;Mobile4&lt;/field&gt;</v>
      </c>
      <c r="AC13" t="str">
        <f t="shared" si="11"/>
        <v>&lt;field name="email"&gt;email4&lt;/field&gt;</v>
      </c>
      <c r="AD13" t="str">
        <f t="shared" si="12"/>
        <v>&lt;field name="website"&gt;http://w.4&lt;/field&gt;</v>
      </c>
      <c r="AE13" t="str">
        <f t="shared" si="13"/>
        <v>&lt;field name="comment"&gt;Comment4&lt;/field&gt;</v>
      </c>
      <c r="AF13" t="s">
        <v>140</v>
      </c>
      <c r="AG13" s="2" t="s">
        <v>132</v>
      </c>
      <c r="AH13" s="2" t="str">
        <f t="shared" si="14"/>
        <v>&lt;record forcecreate="1" id="res_company_clasohlsson" model="res.company"&gt;</v>
      </c>
      <c r="AI13" s="2" t="str">
        <f t="shared" si="15"/>
        <v>&lt;field name="partner_id" ref="res_partner_clasohlsson"/&gt;</v>
      </c>
      <c r="AJ13" s="2" t="s">
        <v>141</v>
      </c>
      <c r="AK13" s="2" t="str">
        <f t="shared" si="16"/>
        <v>&lt;field name="currency_id" ref="base.SEK"/&gt;</v>
      </c>
      <c r="AL13" t="str">
        <f t="shared" si="17"/>
        <v>&lt;field name="name"&gt;Clas Ohlsson&lt;/field&gt;</v>
      </c>
      <c r="AM13" t="s">
        <v>140</v>
      </c>
    </row>
    <row r="14" spans="1:39">
      <c r="A14" s="3" t="str">
        <f t="shared" si="0"/>
        <v>res_partner_sorosinc</v>
      </c>
      <c r="B14" s="3" t="s">
        <v>46</v>
      </c>
      <c r="C14" s="3" t="s">
        <v>93</v>
      </c>
      <c r="D14" s="3" t="s">
        <v>95</v>
      </c>
      <c r="E14" s="4" t="s">
        <v>128</v>
      </c>
      <c r="F14" s="3" t="s">
        <v>96</v>
      </c>
      <c r="G14" s="3" t="s">
        <v>97</v>
      </c>
      <c r="H14" s="3" t="s">
        <v>98</v>
      </c>
      <c r="I14" s="3" t="s">
        <v>99</v>
      </c>
      <c r="J14" s="3" t="s">
        <v>100</v>
      </c>
      <c r="K14" s="3" t="s">
        <v>101</v>
      </c>
      <c r="L14" s="3" t="s">
        <v>102</v>
      </c>
      <c r="M14" s="3" t="s">
        <v>94</v>
      </c>
      <c r="N14" s="1" t="s">
        <v>143</v>
      </c>
      <c r="O14" s="3"/>
      <c r="P14" s="3" t="str">
        <f t="shared" si="1"/>
        <v xml:space="preserve">&lt;!--          Partner            --&gt;
&lt;record forcecreate="1" id="res_partner_sorosinc" model="res.partner"&gt;
&lt;field name="name"&gt;Soros Inc&lt;/field&gt;
&lt;field name="street"&gt;Street 8&lt;/field&gt;
&lt;field name="street2"&gt;Street 2.8&lt;/field&gt;
&lt;field name="zip"&gt;Zip 8&lt;/field&gt;
&lt;field name="city"&gt;City 8&lt;/field&gt;
&lt;field name="country_id/id"&gt;base.gr&lt;/field&gt;
&lt;field name="phone"&gt;Phone8&lt;/field&gt;
&lt;field name="mobile"&gt;Mobile8&lt;/field&gt;
&lt;field name="email"&gt;email8&lt;/field&gt;
&lt;field name="website"&gt;http://w.8&lt;/field&gt;
&lt;field name="comment"&gt;Comment8&lt;/field&gt;
&lt;/record&gt;
&lt;!--                      Company                        --&gt;
&lt;record forcecreate="1" id="res_company_sorosinc" model="res.company"&gt;
&lt;field name="partner_id" ref="res_partner_sorosinc"/&gt;
&lt;field name="parent_id" ref="base.main_company"/&gt;
&lt;field name="currency_id" ref="base.EUR"/&gt;
&lt;field name="name"&gt;Soros Inc&lt;/field&gt;
&lt;/record&gt;
</v>
      </c>
      <c r="Q14" s="3"/>
      <c r="R14" s="3"/>
      <c r="S14" t="s">
        <v>139</v>
      </c>
      <c r="T14" s="2" t="str">
        <f t="shared" si="2"/>
        <v>&lt;record forcecreate="1" id="res_partner_sorosinc" model="res.partner"&gt;</v>
      </c>
      <c r="U14" t="str">
        <f t="shared" si="3"/>
        <v>&lt;field name="name"&gt;Soros Inc&lt;/field&gt;</v>
      </c>
      <c r="V14" t="str">
        <f t="shared" si="4"/>
        <v>&lt;field name="street"&gt;Street 8&lt;/field&gt;</v>
      </c>
      <c r="W14" t="str">
        <f t="shared" si="5"/>
        <v>&lt;field name="street2"&gt;Street 2.8&lt;/field&gt;</v>
      </c>
      <c r="X14" t="str">
        <f t="shared" si="6"/>
        <v>&lt;field name="zip"&gt;Zip 8&lt;/field&gt;</v>
      </c>
      <c r="Y14" t="str">
        <f t="shared" si="7"/>
        <v>&lt;field name="city"&gt;City 8&lt;/field&gt;</v>
      </c>
      <c r="Z14" t="str">
        <f t="shared" si="8"/>
        <v>&lt;field name="country_id/id"&gt;base.gr&lt;/field&gt;</v>
      </c>
      <c r="AA14" t="str">
        <f t="shared" si="9"/>
        <v>&lt;field name="phone"&gt;Phone8&lt;/field&gt;</v>
      </c>
      <c r="AB14" t="str">
        <f t="shared" si="10"/>
        <v>&lt;field name="mobile"&gt;Mobile8&lt;/field&gt;</v>
      </c>
      <c r="AC14" t="str">
        <f t="shared" si="11"/>
        <v>&lt;field name="email"&gt;email8&lt;/field&gt;</v>
      </c>
      <c r="AD14" t="str">
        <f t="shared" si="12"/>
        <v>&lt;field name="website"&gt;http://w.8&lt;/field&gt;</v>
      </c>
      <c r="AE14" t="str">
        <f t="shared" si="13"/>
        <v>&lt;field name="comment"&gt;Comment8&lt;/field&gt;</v>
      </c>
      <c r="AF14" t="s">
        <v>140</v>
      </c>
      <c r="AG14" s="2" t="s">
        <v>132</v>
      </c>
      <c r="AH14" s="2" t="str">
        <f t="shared" si="14"/>
        <v>&lt;record forcecreate="1" id="res_company_sorosinc" model="res.company"&gt;</v>
      </c>
      <c r="AI14" s="2" t="str">
        <f t="shared" si="15"/>
        <v>&lt;field name="partner_id" ref="res_partner_sorosinc"/&gt;</v>
      </c>
      <c r="AJ14" s="2" t="s">
        <v>141</v>
      </c>
      <c r="AK14" s="2" t="str">
        <f t="shared" si="16"/>
        <v>&lt;field name="currency_id" ref="base.EUR"/&gt;</v>
      </c>
      <c r="AL14" t="str">
        <f t="shared" si="17"/>
        <v>&lt;field name="name"&gt;Soros Inc&lt;/field&gt;</v>
      </c>
      <c r="AM14" t="s">
        <v>140</v>
      </c>
    </row>
    <row r="15" spans="1:39">
      <c r="A15" s="3" t="str">
        <f t="shared" si="0"/>
        <v>res_partner_arvidnordkvist</v>
      </c>
      <c r="B15" s="3" t="s">
        <v>23</v>
      </c>
      <c r="C15" s="3" t="s">
        <v>35</v>
      </c>
      <c r="D15" s="3" t="s">
        <v>109</v>
      </c>
      <c r="E15" s="4" t="s">
        <v>129</v>
      </c>
      <c r="F15" s="3" t="s">
        <v>110</v>
      </c>
      <c r="G15" s="3" t="s">
        <v>111</v>
      </c>
      <c r="H15" s="3" t="s">
        <v>18</v>
      </c>
      <c r="I15" s="3" t="s">
        <v>115</v>
      </c>
      <c r="J15" s="3" t="s">
        <v>116</v>
      </c>
      <c r="K15" s="3" t="s">
        <v>101</v>
      </c>
      <c r="L15" s="3" t="s">
        <v>103</v>
      </c>
      <c r="M15" s="3" t="s">
        <v>106</v>
      </c>
      <c r="N15" s="1" t="s">
        <v>144</v>
      </c>
      <c r="O15" s="3"/>
      <c r="P15" s="3" t="str">
        <f t="shared" si="1"/>
        <v xml:space="preserve">&lt;!--          Partner            --&gt;
&lt;record forcecreate="1" id="res_partner_arvidnordkvist" model="res.partner"&gt;
&lt;field name="name"&gt;Arvid Nordkvist&lt;/field&gt;
&lt;field name="street"&gt;Street 10&lt;/field&gt;
&lt;field name="street2"&gt;Street 2.10&lt;/field&gt;
&lt;field name="zip"&gt;Zip 10&lt;/field&gt;
&lt;field name="city"&gt;City 10&lt;/field&gt;
&lt;field name="country_id/id"&gt;base.se&lt;/field&gt;
&lt;field name="phone"&gt;Phone10&lt;/field&gt;
&lt;field name="mobile"&gt;Mobile10&lt;/field&gt;
&lt;field name="email"&gt;email8&lt;/field&gt;
&lt;field name="website"&gt;http://w.10&lt;/field&gt;
&lt;field name="comment"&gt;Comment10&lt;/field&gt;
&lt;/record&gt;
&lt;!--                      Company                        --&gt;
&lt;record forcecreate="1" id="res_company_arvidnordkvist" model="res.company"&gt;
&lt;field name="partner_id" ref="res_partner_arvidnordkvist"/&gt;
&lt;field name="parent_id" ref="base.main_company"/&gt;
&lt;field name="currency_id" ref="base.SEK"/&gt;
&lt;field name="name"&gt;Arvid Nordkvist&lt;/field&gt;
&lt;/record&gt;
</v>
      </c>
      <c r="Q15" s="3"/>
      <c r="R15" s="3"/>
      <c r="S15" t="s">
        <v>139</v>
      </c>
      <c r="T15" s="2" t="str">
        <f t="shared" si="2"/>
        <v>&lt;record forcecreate="1" id="res_partner_arvidnordkvist" model="res.partner"&gt;</v>
      </c>
      <c r="U15" t="str">
        <f t="shared" si="3"/>
        <v>&lt;field name="name"&gt;Arvid Nordkvist&lt;/field&gt;</v>
      </c>
      <c r="V15" t="str">
        <f t="shared" si="4"/>
        <v>&lt;field name="street"&gt;Street 10&lt;/field&gt;</v>
      </c>
      <c r="W15" t="str">
        <f t="shared" si="5"/>
        <v>&lt;field name="street2"&gt;Street 2.10&lt;/field&gt;</v>
      </c>
      <c r="X15" t="str">
        <f t="shared" si="6"/>
        <v>&lt;field name="zip"&gt;Zip 10&lt;/field&gt;</v>
      </c>
      <c r="Y15" t="str">
        <f t="shared" si="7"/>
        <v>&lt;field name="city"&gt;City 10&lt;/field&gt;</v>
      </c>
      <c r="Z15" t="str">
        <f t="shared" si="8"/>
        <v>&lt;field name="country_id/id"&gt;base.se&lt;/field&gt;</v>
      </c>
      <c r="AA15" t="str">
        <f t="shared" si="9"/>
        <v>&lt;field name="phone"&gt;Phone10&lt;/field&gt;</v>
      </c>
      <c r="AB15" t="str">
        <f t="shared" si="10"/>
        <v>&lt;field name="mobile"&gt;Mobile10&lt;/field&gt;</v>
      </c>
      <c r="AC15" t="str">
        <f t="shared" si="11"/>
        <v>&lt;field name="email"&gt;email8&lt;/field&gt;</v>
      </c>
      <c r="AD15" t="str">
        <f t="shared" si="12"/>
        <v>&lt;field name="website"&gt;http://w.10&lt;/field&gt;</v>
      </c>
      <c r="AE15" t="str">
        <f t="shared" si="13"/>
        <v>&lt;field name="comment"&gt;Comment10&lt;/field&gt;</v>
      </c>
      <c r="AF15" t="s">
        <v>140</v>
      </c>
      <c r="AG15" s="2" t="s">
        <v>132</v>
      </c>
      <c r="AH15" s="2" t="str">
        <f t="shared" si="14"/>
        <v>&lt;record forcecreate="1" id="res_company_arvidnordkvist" model="res.company"&gt;</v>
      </c>
      <c r="AI15" s="2" t="str">
        <f t="shared" si="15"/>
        <v>&lt;field name="partner_id" ref="res_partner_arvidnordkvist"/&gt;</v>
      </c>
      <c r="AJ15" s="2" t="s">
        <v>141</v>
      </c>
      <c r="AK15" s="2" t="str">
        <f t="shared" si="16"/>
        <v>&lt;field name="currency_id" ref="base.SEK"/&gt;</v>
      </c>
      <c r="AL15" t="str">
        <f t="shared" si="17"/>
        <v>&lt;field name="name"&gt;Arvid Nordkvist&lt;/field&gt;</v>
      </c>
      <c r="AM15" t="s">
        <v>140</v>
      </c>
    </row>
    <row r="16" spans="1:39">
      <c r="A16" s="3" t="str">
        <f t="shared" si="0"/>
        <v>res_partner_gustafeiffel</v>
      </c>
      <c r="B16" s="3" t="s">
        <v>23</v>
      </c>
      <c r="C16" s="3" t="s">
        <v>67</v>
      </c>
      <c r="D16" s="3" t="s">
        <v>112</v>
      </c>
      <c r="E16" s="4" t="s">
        <v>130</v>
      </c>
      <c r="F16" s="3" t="s">
        <v>113</v>
      </c>
      <c r="G16" s="3" t="s">
        <v>114</v>
      </c>
      <c r="H16" s="3" t="s">
        <v>18</v>
      </c>
      <c r="I16" s="3" t="s">
        <v>117</v>
      </c>
      <c r="J16" s="3" t="s">
        <v>118</v>
      </c>
      <c r="K16" s="3" t="s">
        <v>101</v>
      </c>
      <c r="L16" s="3" t="s">
        <v>104</v>
      </c>
      <c r="M16" s="3" t="s">
        <v>107</v>
      </c>
      <c r="N16" s="1" t="s">
        <v>143</v>
      </c>
      <c r="O16" s="3"/>
      <c r="P16" s="3" t="str">
        <f t="shared" si="1"/>
        <v xml:space="preserve">&lt;!--          Partner            --&gt;
&lt;record forcecreate="1" id="res_partner_gustafeiffel" model="res.partner"&gt;
&lt;field name="name"&gt;Gustaf Eiffel&lt;/field&gt;
&lt;field name="street"&gt;Street 11&lt;/field&gt;
&lt;field name="street2"&gt;Street 2.11&lt;/field&gt;
&lt;field name="zip"&gt;Zip 11&lt;/field&gt;
&lt;field name="city"&gt;City 11&lt;/field&gt;
&lt;field name="country_id/id"&gt;base.se&lt;/field&gt;
&lt;field name="phone"&gt;Phone11&lt;/field&gt;
&lt;field name="mobile"&gt;Mobile11&lt;/field&gt;
&lt;field name="email"&gt;email8&lt;/field&gt;
&lt;field name="website"&gt;http://w.11&lt;/field&gt;
&lt;field name="comment"&gt;Comment11&lt;/field&gt;
&lt;/record&gt;
&lt;!--                      Company                        --&gt;
&lt;record forcecreate="1" id="res_company_gustafeiffel" model="res.company"&gt;
&lt;field name="partner_id" ref="res_partner_gustafeiffel"/&gt;
&lt;field name="parent_id" ref="base.main_company"/&gt;
&lt;field name="currency_id" ref="base.EUR"/&gt;
&lt;field name="name"&gt;Gustaf Eiffel&lt;/field&gt;
&lt;/record&gt;
</v>
      </c>
      <c r="Q16" s="3"/>
      <c r="R16" s="3"/>
      <c r="S16" t="s">
        <v>139</v>
      </c>
      <c r="T16" s="2" t="str">
        <f t="shared" si="2"/>
        <v>&lt;record forcecreate="1" id="res_partner_gustafeiffel" model="res.partner"&gt;</v>
      </c>
      <c r="U16" t="str">
        <f t="shared" si="3"/>
        <v>&lt;field name="name"&gt;Gustaf Eiffel&lt;/field&gt;</v>
      </c>
      <c r="V16" t="str">
        <f t="shared" si="4"/>
        <v>&lt;field name="street"&gt;Street 11&lt;/field&gt;</v>
      </c>
      <c r="W16" t="str">
        <f t="shared" si="5"/>
        <v>&lt;field name="street2"&gt;Street 2.11&lt;/field&gt;</v>
      </c>
      <c r="X16" t="str">
        <f t="shared" si="6"/>
        <v>&lt;field name="zip"&gt;Zip 11&lt;/field&gt;</v>
      </c>
      <c r="Y16" t="str">
        <f t="shared" si="7"/>
        <v>&lt;field name="city"&gt;City 11&lt;/field&gt;</v>
      </c>
      <c r="Z16" t="str">
        <f t="shared" si="8"/>
        <v>&lt;field name="country_id/id"&gt;base.se&lt;/field&gt;</v>
      </c>
      <c r="AA16" t="str">
        <f t="shared" si="9"/>
        <v>&lt;field name="phone"&gt;Phone11&lt;/field&gt;</v>
      </c>
      <c r="AB16" t="str">
        <f t="shared" si="10"/>
        <v>&lt;field name="mobile"&gt;Mobile11&lt;/field&gt;</v>
      </c>
      <c r="AC16" t="str">
        <f t="shared" si="11"/>
        <v>&lt;field name="email"&gt;email8&lt;/field&gt;</v>
      </c>
      <c r="AD16" t="str">
        <f t="shared" si="12"/>
        <v>&lt;field name="website"&gt;http://w.11&lt;/field&gt;</v>
      </c>
      <c r="AE16" t="str">
        <f t="shared" si="13"/>
        <v>&lt;field name="comment"&gt;Comment11&lt;/field&gt;</v>
      </c>
      <c r="AF16" t="s">
        <v>140</v>
      </c>
      <c r="AG16" s="2" t="s">
        <v>132</v>
      </c>
      <c r="AH16" s="2" t="str">
        <f t="shared" si="14"/>
        <v>&lt;record forcecreate="1" id="res_company_gustafeiffel" model="res.company"&gt;</v>
      </c>
      <c r="AI16" s="2" t="str">
        <f t="shared" si="15"/>
        <v>&lt;field name="partner_id" ref="res_partner_gustafeiffel"/&gt;</v>
      </c>
      <c r="AJ16" s="2" t="s">
        <v>141</v>
      </c>
      <c r="AK16" s="2" t="str">
        <f t="shared" si="16"/>
        <v>&lt;field name="currency_id" ref="base.EUR"/&gt;</v>
      </c>
      <c r="AL16" t="str">
        <f t="shared" si="17"/>
        <v>&lt;field name="name"&gt;Gustaf Eiffel&lt;/field&gt;</v>
      </c>
      <c r="AM16" t="s">
        <v>140</v>
      </c>
    </row>
    <row r="17" spans="1:39">
      <c r="A17" s="3" t="str">
        <f t="shared" si="0"/>
        <v>res_partner_multiagilesarl</v>
      </c>
      <c r="B17" s="3" t="s">
        <v>46</v>
      </c>
      <c r="C17" s="3" t="s">
        <v>88</v>
      </c>
      <c r="D17" s="3" t="s">
        <v>89</v>
      </c>
      <c r="E17" s="4" t="s">
        <v>131</v>
      </c>
      <c r="F17" s="3" t="s">
        <v>90</v>
      </c>
      <c r="G17" s="3" t="s">
        <v>91</v>
      </c>
      <c r="H17" s="3" t="s">
        <v>92</v>
      </c>
      <c r="I17" s="3" t="s">
        <v>119</v>
      </c>
      <c r="J17" s="3" t="s">
        <v>120</v>
      </c>
      <c r="K17" s="3" t="s">
        <v>101</v>
      </c>
      <c r="L17" s="3" t="s">
        <v>105</v>
      </c>
      <c r="M17" s="3" t="s">
        <v>108</v>
      </c>
      <c r="N17" s="1" t="s">
        <v>144</v>
      </c>
      <c r="O17" s="3"/>
      <c r="P17" s="3" t="str">
        <f t="shared" si="1"/>
        <v xml:space="preserve">&lt;!--          Partner            --&gt;
&lt;record forcecreate="1" id="res_partner_multiagilesarl" model="res.partner"&gt;
&lt;field name="name"&gt;Multi Agile Sarl&lt;/field&gt;
&lt;field name="street"&gt;Rue&lt;/field&gt;
&lt;field name="street2"&gt;Street 2.12&lt;/field&gt;
&lt;field name="zip"&gt;1234&lt;/field&gt;
&lt;field name="city"&gt;Ville&lt;/field&gt;
&lt;field name="country_id/id"&gt;base.fr&lt;/field&gt;
&lt;field name="phone"&gt;Phone12&lt;/field&gt;
&lt;field name="mobile"&gt;Mobile12&lt;/field&gt;
&lt;field name="email"&gt;email8&lt;/field&gt;
&lt;field name="website"&gt;http://w.12&lt;/field&gt;
&lt;field name="comment"&gt;Comment12&lt;/field&gt;
&lt;/record&gt;
&lt;!--                      Company                        --&gt;
&lt;record forcecreate="1" id="res_company_multiagilesarl" model="res.company"&gt;
&lt;field name="partner_id" ref="res_partner_multiagilesarl"/&gt;
&lt;field name="parent_id" ref="base.main_company"/&gt;
&lt;field name="currency_id" ref="base.SEK"/&gt;
&lt;field name="name"&gt;Multi Agile Sarl&lt;/field&gt;
&lt;/record&gt;
</v>
      </c>
      <c r="Q17" s="3"/>
      <c r="R17" s="3"/>
      <c r="S17" t="s">
        <v>139</v>
      </c>
      <c r="T17" s="2" t="str">
        <f t="shared" si="2"/>
        <v>&lt;record forcecreate="1" id="res_partner_multiagilesarl" model="res.partner"&gt;</v>
      </c>
      <c r="U17" t="str">
        <f t="shared" si="3"/>
        <v>&lt;field name="name"&gt;Multi Agile Sarl&lt;/field&gt;</v>
      </c>
      <c r="V17" t="str">
        <f t="shared" si="4"/>
        <v>&lt;field name="street"&gt;Rue&lt;/field&gt;</v>
      </c>
      <c r="W17" t="str">
        <f t="shared" si="5"/>
        <v>&lt;field name="street2"&gt;Street 2.12&lt;/field&gt;</v>
      </c>
      <c r="X17" t="str">
        <f t="shared" si="6"/>
        <v>&lt;field name="zip"&gt;1234&lt;/field&gt;</v>
      </c>
      <c r="Y17" t="str">
        <f t="shared" si="7"/>
        <v>&lt;field name="city"&gt;Ville&lt;/field&gt;</v>
      </c>
      <c r="Z17" t="str">
        <f t="shared" si="8"/>
        <v>&lt;field name="country_id/id"&gt;base.fr&lt;/field&gt;</v>
      </c>
      <c r="AA17" t="str">
        <f t="shared" si="9"/>
        <v>&lt;field name="phone"&gt;Phone12&lt;/field&gt;</v>
      </c>
      <c r="AB17" t="str">
        <f t="shared" si="10"/>
        <v>&lt;field name="mobile"&gt;Mobile12&lt;/field&gt;</v>
      </c>
      <c r="AC17" t="str">
        <f t="shared" si="11"/>
        <v>&lt;field name="email"&gt;email8&lt;/field&gt;</v>
      </c>
      <c r="AD17" t="str">
        <f t="shared" si="12"/>
        <v>&lt;field name="website"&gt;http://w.12&lt;/field&gt;</v>
      </c>
      <c r="AE17" t="str">
        <f t="shared" si="13"/>
        <v>&lt;field name="comment"&gt;Comment12&lt;/field&gt;</v>
      </c>
      <c r="AF17" t="s">
        <v>140</v>
      </c>
      <c r="AG17" s="2" t="s">
        <v>132</v>
      </c>
      <c r="AH17" s="2" t="str">
        <f t="shared" si="14"/>
        <v>&lt;record forcecreate="1" id="res_company_multiagilesarl" model="res.company"&gt;</v>
      </c>
      <c r="AI17" s="2" t="str">
        <f t="shared" si="15"/>
        <v>&lt;field name="partner_id" ref="res_partner_multiagilesarl"/&gt;</v>
      </c>
      <c r="AJ17" s="2" t="s">
        <v>141</v>
      </c>
      <c r="AK17" s="2" t="str">
        <f t="shared" si="16"/>
        <v>&lt;field name="currency_id" ref="base.SEK"/&gt;</v>
      </c>
      <c r="AL17" t="str">
        <f t="shared" si="17"/>
        <v>&lt;field name="name"&gt;Multi Agile Sarl&lt;/field&gt;</v>
      </c>
      <c r="AM17" t="s">
        <v>140</v>
      </c>
    </row>
    <row r="18" spans="1:39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/>
      <c r="P18" s="2" t="s">
        <v>136</v>
      </c>
      <c r="Q18"/>
      <c r="R18"/>
    </row>
    <row r="19" spans="1:39">
      <c r="A19" s="1"/>
      <c r="P19" s="2" t="s">
        <v>137</v>
      </c>
      <c r="Q19"/>
      <c r="R19"/>
    </row>
    <row r="20" spans="1:39">
      <c r="A20" s="1"/>
    </row>
    <row r="21" spans="1:39">
      <c r="A21" s="1"/>
    </row>
    <row r="22" spans="1:39">
      <c r="A22" s="1"/>
      <c r="C22"/>
    </row>
    <row r="23" spans="1:39">
      <c r="A23" s="1"/>
    </row>
    <row r="24" spans="1:39">
      <c r="A24" s="1"/>
    </row>
    <row r="25" spans="1:39">
      <c r="A25" s="1"/>
    </row>
    <row r="26" spans="1:39">
      <c r="A26" s="1"/>
    </row>
    <row r="27" spans="1:39">
      <c r="A27" s="1"/>
    </row>
    <row r="31" spans="1:39">
      <c r="Q31"/>
      <c r="R31"/>
    </row>
    <row r="32" spans="1:39">
      <c r="Q32"/>
      <c r="R32"/>
    </row>
    <row r="33" spans="17:18">
      <c r="Q33"/>
      <c r="R33"/>
    </row>
    <row r="34" spans="17:18">
      <c r="Q34"/>
      <c r="R34"/>
    </row>
    <row r="35" spans="17:18">
      <c r="Q35"/>
      <c r="R35"/>
    </row>
    <row r="36" spans="17:18">
      <c r="Q36"/>
      <c r="R36"/>
    </row>
    <row r="37" spans="17:18">
      <c r="Q37"/>
      <c r="R37"/>
    </row>
    <row r="38" spans="17:18">
      <c r="Q38"/>
      <c r="R38"/>
    </row>
    <row r="39" spans="17:18">
      <c r="Q39"/>
      <c r="R39"/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</dc:creator>
  <cp:lastModifiedBy>Fredrik Arvas</cp:lastModifiedBy>
  <dcterms:created xsi:type="dcterms:W3CDTF">2014-11-15T08:44:04Z</dcterms:created>
  <dcterms:modified xsi:type="dcterms:W3CDTF">2014-11-25T09:47:28Z</dcterms:modified>
</cp:coreProperties>
</file>